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xv76wk/Desktop/untitled folder/"/>
    </mc:Choice>
  </mc:AlternateContent>
  <xr:revisionPtr revIDLastSave="0" documentId="13_ncr:1_{D787A50D-27B1-1B4F-A969-339F24AD899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ypherbench_ex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J27" i="1"/>
  <c r="I27" i="1"/>
</calcChain>
</file>

<file path=xl/sharedStrings.xml><?xml version="1.0" encoding="utf-8"?>
<sst xmlns="http://schemas.openxmlformats.org/spreadsheetml/2006/main" count="186" uniqueCount="141">
  <si>
    <t>id</t>
  </si>
  <si>
    <t>test_id</t>
  </si>
  <si>
    <t>cypher_query</t>
  </si>
  <si>
    <t>gold_translation</t>
  </si>
  <si>
    <t>csencoder_gpt4omini_translation</t>
  </si>
  <si>
    <t>llm_as_judge</t>
  </si>
  <si>
    <t>primary_pattern</t>
  </si>
  <si>
    <t>all_patterns</t>
  </si>
  <si>
    <t>8ae5de16-66e3-4f25-9ee1-3b8cc4716876</t>
  </si>
  <si>
    <t>test_10</t>
  </si>
  <si>
    <t>CALL { MATCH (n:Movie)-[r0:receivesAward]-&gt;(m0:Award {name: 'Amanda Award for Best Foreign Feature Film'}) RETURN n, m0 as m UNION MATCH (n:Movie)-[r1:hasCastMember]-&gt;(m1:Person {name: 'Elijah Wood'}) RETURN n, m1 as m } WITH DISTINCT n RETURN count(n)</t>
  </si>
  <si>
    <t>How many movies have either won the Amanda Award for Best Foreign Feature Film or feature Elijah Wood in their cast?</t>
  </si>
  <si>
    <t>How many movies have either received the Amanda Award for Best Foreign Feature Film or have Elijah Wood as a cast member?</t>
  </si>
  <si>
    <t>call_subquery</t>
  </si>
  <si>
    <t>with_clause, call_subquery, match_return</t>
  </si>
  <si>
    <t>2d5f1e6f-ae3c-4e71-8fbe-e05f69294e46</t>
  </si>
  <si>
    <t>test_12</t>
  </si>
  <si>
    <t>CALL { MATCH (n:Player)-[r0:playsFor]-&gt;(m0:Team {name: 'Sacramento Kings'}) RETURN n, m0 as m UNION MATCH (n:Player)-[r1:playsFor]-&gt;(m1:Team {name: 'Chicago Bulls'}) RETURN n, m1 as m } WITH DISTINCT n RETURN count(n)</t>
  </si>
  <si>
    <t>How many players have been part of either the Sacramento Kings or the Chicago Bulls at any time?</t>
  </si>
  <si>
    <t>3f28fa8b-8b37-46ad-ab48-d4e573500312</t>
  </si>
  <si>
    <t>test_14</t>
  </si>
  <si>
    <t>CALL { MATCH (n:Player)-[r0:playsPosition]-&gt;(m0:Position {name: 'shooting guard'}) RETURN n, m0 as m UNION MATCH (n:Player)-[r1:playsPosition]-&gt;(m1:Position {name: 'swingman'}) RETURN n, m1 as m } WITH DISTINCT n RETURN count(n)</t>
  </si>
  <si>
    <t>How many players are there who play as either a shooting guard or a swingman?</t>
  </si>
  <si>
    <t>6036ecb5-178e-4da8-ba08-5dbca395f396</t>
  </si>
  <si>
    <t>test_15</t>
  </si>
  <si>
    <t>CALL { MATCH (n:Character)-[r0:hasFather]-&gt;(m0:Character {name: 'Cao Cao'}) RETURN n, m0 as m UNION MATCH (n:Character)&lt;-[r1:killedBy]-(m1:Character {name: 'Wu Lan'}) RETURN n, m1 as m } WITH DISTINCT n RETURN count(n)</t>
  </si>
  <si>
    <t>How many characters either have Cao Cao as their father or killed Wu Lan?</t>
  </si>
  <si>
    <t>How many characters are either children of Cao Cao or were killed by Wu Lan?</t>
  </si>
  <si>
    <t>17dfa1bd-d76c-4689-9e84-68c4d19b05b3</t>
  </si>
  <si>
    <t>test_20</t>
  </si>
  <si>
    <t>CALL { MATCH (n:Movie)-[r0:releasedIn]-&gt;(m0:Country {name: 'France'}) RETURN n, m0 as m UNION MATCH (n:Movie)-[r1:receivesAward]-&gt;(m1:Award {name: 'Independent Spirit Award for Best Male Lead'}) RETURN n, m1 as m } WITH DISTINCT n RETURN count(n)</t>
  </si>
  <si>
    <t>How many movies were either released in France or received the Independent Spirit Award for Best Male Lead?</t>
  </si>
  <si>
    <t>How many movies have either been released in France or received the Independent Spirit Award for Best Male Lead?</t>
  </si>
  <si>
    <t>18135e58-986b-48e7-99d8-b2b6f58b3cf9</t>
  </si>
  <si>
    <t>test_32</t>
  </si>
  <si>
    <t>CALL { MATCH (n:River)-[r0:flowsThrough]-&gt;(m0:Country {name: 'Kazakhstan'}) RETURN n, m0 as m UNION MATCH (n:River)-[r1:partOf]-&gt;(m1:DrainageBasin {name: 'Irtysh basin'}) RETURN n, m1 as m } WITH DISTINCT n RETURN n.name</t>
  </si>
  <si>
    <t>What are the names of rivers that either flow through Kazakhstan or are part of the Irtysh basin?</t>
  </si>
  <si>
    <t>829e543d-503e-45a1-aa9a-8a14ae871d47</t>
  </si>
  <si>
    <t>test_49</t>
  </si>
  <si>
    <t>CALL { MATCH (n:Award)&lt;-[r0:receivesAward]-(m0:Player {name: 'Wilt Chamberlain'}) RETURN n, m0 as m UNION MATCH (n:Award)&lt;-[r1:receivesAward]-(m1:Player {name: 'Bob Lanier'}) RETURN n, m1 as m } WITH DISTINCT n RETURN count(n)</t>
  </si>
  <si>
    <t>How many awards have been received by either Wilt Chamberlain or Bob Lanier?</t>
  </si>
  <si>
    <t>0834680e-22f8-4e23-84e8-7807640928ab</t>
  </si>
  <si>
    <t>test_53</t>
  </si>
  <si>
    <t>CALL { MATCH (n:Team)-[r0:partOfDivision]-&gt;(m0:Division {name: 'Southwest Division'}) RETURN n, m0 as m UNION MATCH (n:Team)&lt;-[r1:draftedBy]-(m1:Player {name: 'Lucious Harris'}) RETURN n, m1 as m } WITH DISTINCT n RETURN count(n)</t>
  </si>
  <si>
    <t>How many teams are either part of the Southwest Division or have drafted Lucious Harris?</t>
  </si>
  <si>
    <t>How many teams are either part of the Southwest Division or have drafted the player Lucious Harris?</t>
  </si>
  <si>
    <t>b5008120-4da6-436e-9126-d03ade046464</t>
  </si>
  <si>
    <t>test_9</t>
  </si>
  <si>
    <t>MATCH (n:Country)&lt;-[r1:flowsThrough]-(m1:River {name: 'Arauca River'}) OPTIONAL MATCH (n:Country)&lt;-[r0:locatedIn]-(m0:DrainageBasin) WITH n, count(DISTINCT m0) AS num RETURN n.name, num</t>
  </si>
  <si>
    <t>What are the names of countries through which the Arauca River flows, and how many drainage basins are located in each of those countries?</t>
  </si>
  <si>
    <t>What are the names of countries through which the Arauca River flows, and how many distinct drainage basins are located in each of those countries?</t>
  </si>
  <si>
    <t>optional_match</t>
  </si>
  <si>
    <t>optional_match, with_clause, match_return</t>
  </si>
  <si>
    <t>bfd47880-61b2-493b-9503-311d8fa87055</t>
  </si>
  <si>
    <t>test_27</t>
  </si>
  <si>
    <t>MATCH (n:Location)&lt;-[r1:basedIn]-(m1:Organization {name: 'Night\'s Watch'}) OPTIONAL MATCH (n:Location)&lt;-[r0:diedIn]-(m0:Character) WITH n, count(DISTINCT m0) AS num RETURN n.name, num</t>
  </si>
  <si>
    <t>What are the names of all locations where the Night's Watch is based, and how many characters have died in each of those locations?</t>
  </si>
  <si>
    <t>What are the names of locations where the Night's Watch is based, and how many characters have died in each of those locations?</t>
  </si>
  <si>
    <t>d3749286-4b96-49d5-b2ea-0a0f52fbad89</t>
  </si>
  <si>
    <t>test_28</t>
  </si>
  <si>
    <t>MATCH (n:Movie)-[r1:releasedIn]-&gt;(m1:Country {name: 'Chile'}) OPTIONAL MATCH (n:Movie)-[r0:directedBy]-&gt;(m0:Person) WITH n, count(DISTINCT m0) AS num RETURN n.name, num</t>
  </si>
  <si>
    <t>What are the names of movies released in Chile, and how many directors does each have?</t>
  </si>
  <si>
    <t>What are the names of all movies released in Chile, and how many distinct directors each movie has?</t>
  </si>
  <si>
    <t>cac64b27-c60f-40fa-a445-6ee4c0439748</t>
  </si>
  <si>
    <t>test_48</t>
  </si>
  <si>
    <t>MATCH (n:Character)-[r1:fromUniverse]-&gt;(m1:FictionalUniverse {name: 'Future Diary universe'}) OPTIONAL MATCH (n:Character)&lt;-[r0:killedBy]-(m0:Character) WITH n, count(DISTINCT m0) AS num RETURN n.name, num</t>
  </si>
  <si>
    <t>Provide the names of all characters from the Future Diary universe, along with the number of characters that each of them have killed.</t>
  </si>
  <si>
    <t>What are the names of characters from the Future Diary universe, and how many distinct characters killed each of them?</t>
  </si>
  <si>
    <t>7fcb7800-241f-417b-8fbb-a488f42fd1f6</t>
  </si>
  <si>
    <t>test_50</t>
  </si>
  <si>
    <t>MATCH (n:Country)&lt;-[r1:locatedIn]-(m1:Mountain {name: 'Kula Kangri'}) OPTIONAL MATCH (n:Country)&lt;-[r0:locatedIn]-(m0:DrainageBasin) WITH n, count(DISTINCT m0) AS num RETURN n.name, num</t>
  </si>
  <si>
    <t>List the names of all countries where Kula Kangri is located, along with the number of drainage basins found in each.</t>
  </si>
  <si>
    <t>What are the names of countries where the mountain Kula Kangri is located, and how many distinct drainage basins are found in each of those countries?</t>
  </si>
  <si>
    <t>87e3ee59-713e-4680-b3aa-2602cfbd3c0f</t>
  </si>
  <si>
    <t>test_56</t>
  </si>
  <si>
    <t>MATCH (n:Person)&lt;-[r1:foundedBy]-(m1:Company {name: 'Viacom'}) OPTIONAL MATCH (n:Person)&lt;-[r0:hasCEO]-(m0:Company) WITH n, count(DISTINCT m0) AS num RETURN n.name, num</t>
  </si>
  <si>
    <t>Provide the names of all individuals who were founders of Viacom, along with the number of companies where each has served as CEO, either currently or in the past.</t>
  </si>
  <si>
    <t>Who are the founders of Viacom, and how many companies has each of them served as CEO for?</t>
  </si>
  <si>
    <t>5ccda891-9f3c-4787-993c-0c72e07de25c</t>
  </si>
  <si>
    <t>test_0</t>
  </si>
  <si>
    <t>MATCH (n:Lake)-[r0:locatedIn]-&gt;(m0:Country)&lt;-[r1:flowsThrough]-(m1:River {name: 'Natara'}) WITH DISTINCT n WHERE n.area_km2 &lt; 390000 RETURN n.name</t>
  </si>
  <si>
    <t>What are the names of lakes situated in countries through which the Natara River flows, with an area of less than 390,000 square kilometers?</t>
  </si>
  <si>
    <t>What are the names of lakes located in countries through which the River Natara flows, and have an area of less than 390,000 square kilometers?</t>
  </si>
  <si>
    <t>match_where_return</t>
  </si>
  <si>
    <t>with_clause, match_where_return</t>
  </si>
  <si>
    <t>de8db4ea-7c7b-438e-81f1-50625f6ed2ad</t>
  </si>
  <si>
    <t>test_19</t>
  </si>
  <si>
    <t>MATCH (n:Person)&lt;-[r0:foundedBy]-(m0:Company),(n:Person)&lt;-[r1:hasBoardMember]-(m0:Company) WITH DISTINCT n WHERE n.date_of_death &gt; date('1940-05-05') RETURN n.name</t>
  </si>
  <si>
    <t>What are the names of individuals who passed away after May 5th, 1940, and who both founded and served on the board of a company?</t>
  </si>
  <si>
    <t>Which individuals founded companies and also served as board members, but only include those who were alive after May 5, 1940?</t>
  </si>
  <si>
    <t>2ca64126-4d4a-4b65-9aaa-4f96af2124fb</t>
  </si>
  <si>
    <t>test_23</t>
  </si>
  <si>
    <t>MATCH (n:Character)&lt;-[r0:hasStudent]-(m0:Character)-[r1:killedBy]-&gt;(m1:Character {name: 'Yuno Gasai'}) WITH DISTINCT n WHERE NOT 'serial killer' IN n.occupation RETURN n.name</t>
  </si>
  <si>
    <t>What are the names of students of those killed by Yuno Gasai and are not serial killers by occupation?</t>
  </si>
  <si>
    <t>What are the names of characters who are students of someone killed by Yuno Gasai and do not have 'serial killer' as their occupation?</t>
  </si>
  <si>
    <t>fb1c2211-aaf4-478a-b662-7c7f145843e0</t>
  </si>
  <si>
    <t>test_25</t>
  </si>
  <si>
    <t>MATCH (n:Person)&lt;-[r0:foundedBy]-(m0:Company),(n:Person)&lt;-[r1:hasBoardMember]-(m0:Company) WITH DISTINCT n WHERE NOT 'Austria' IN n.country_of_citizenship RETURN n.name</t>
  </si>
  <si>
    <t>What are the names of individuals who have both founded a company and served on its board, but are not citizens of Austria?</t>
  </si>
  <si>
    <t>Who are the names of individuals who have founded companies and also serve as board members of those companies, excluding those from Austria?</t>
  </si>
  <si>
    <t>127b5b52-565f-4cd3-818a-d221b301626b</t>
  </si>
  <si>
    <t>test_36</t>
  </si>
  <si>
    <t>MATCH (n:Person)&lt;-[r0:writtenBy]-(m0:Movie)-[r1:originatesFrom]-&gt;(m1:Country {name: 'Republic of Ireland'}) WITH DISTINCT n WHERE n.place_of_birth = 'Kilmore' RETURN n.name</t>
  </si>
  <si>
    <t>What are the names of individuals born in Kilmore who have written movies originating from the Republic of Ireland?</t>
  </si>
  <si>
    <t>What are the names of people who wrote movies that originate from the Republic of Ireland and were born in Kilmore?</t>
  </si>
  <si>
    <t>21e88819-1f35-47d5-afad-c37d695d916a</t>
  </si>
  <si>
    <t>test_1</t>
  </si>
  <si>
    <t>MATCH (n:Country) WITH DISTINCT n RETURN n.name</t>
  </si>
  <si>
    <t>What are the names of all countries?</t>
  </si>
  <si>
    <t>What are the names of all the countries?</t>
  </si>
  <si>
    <t>with_clause</t>
  </si>
  <si>
    <t>with_clause, match_return</t>
  </si>
  <si>
    <t>91eff295-27fa-46fd-a6df-55e215a80132</t>
  </si>
  <si>
    <t>test_4</t>
  </si>
  <si>
    <t>MATCH (n:Country)-[r0:hasDiplomaticRelationWith]-&gt;(m0:Country)&lt;-[r1:hasDiplomaticRelationWith]-(m1:Country {name: 'Brazil'}) WITH n, count(DISTINCT m0) AS num RETURN n.name, num</t>
  </si>
  <si>
    <t>Which countries have diplomatic relations with nations that Brazil also has diplomatic relations with, and how many such countries are there for each?</t>
  </si>
  <si>
    <t>What are the names of countries that have diplomatic relations with countries that also have diplomatic relations with Brazil, and how many such countries are associated with each of them?</t>
  </si>
  <si>
    <t>ec629349-03ee-4273-8a1a-8e63e7d5416c</t>
  </si>
  <si>
    <t>test_5</t>
  </si>
  <si>
    <t>MATCH (n:Person)&lt;-[r0:hasBoardMember]-(m0:Company)-[r1:basedIn]-&gt;(m1:Country {name: 'Russia'}) WITH n, count(DISTINCT m0) AS num RETURN n.name, num</t>
  </si>
  <si>
    <t>Provide the names of individuals who have served as board members for companies based in Russia, along with the count of such companies for each person.</t>
  </si>
  <si>
    <t>What are the names of board members associated with companies based in Russia, and how many companies is each board member linked to?</t>
  </si>
  <si>
    <t>ff429c7d-42b0-4b3b-972d-1284e0164e2c</t>
  </si>
  <si>
    <t>test_2</t>
  </si>
  <si>
    <t>MATCH (n:AircraftModel {name: 'Antonov An-12'}), (m0:AircraftModel {name: 'ATR 42'}) RETURN n.range_km - m0.range_km AS answer</t>
  </si>
  <si>
    <t>What is the difference in range, in kilometers, between the Antonov An-12 and the ATR 42?</t>
  </si>
  <si>
    <t>What is the difference in range (in kilometers) between the Antonov An-12 and the ATR 42?</t>
  </si>
  <si>
    <t>match_return</t>
  </si>
  <si>
    <t>bcf9c30f-8b53-40a1-9929-f72f6a550eea</t>
  </si>
  <si>
    <t>test_3</t>
  </si>
  <si>
    <t>MATCH (n:Lake {name: 'Lake Sartlan'}), (m0:Lake {name: 'Lake Sasykkol'}) RETURN n.vertical_depth_m - m0.vertical_depth_m AS answer</t>
  </si>
  <si>
    <t>What is the difference in vertical depth between Lake Sartlan and Lake Sasykkol?</t>
  </si>
  <si>
    <t>What is the difference in vertical depth between Lake Sartlan and Lake Sasykkol in meters?</t>
  </si>
  <si>
    <t>f5b4e598-1e94-452f-bff5-8f56ab44d707</t>
  </si>
  <si>
    <t>test_8</t>
  </si>
  <si>
    <t>MATCH (n:Character {name: 'Wipeout'}), (m0:Character {name: 'Chris Bradley'}) RETURN n.gender = m0.gender AS answer</t>
  </si>
  <si>
    <t>Do Wipeout and Chris Bradley share the same gender?</t>
  </si>
  <si>
    <t>Are Wipeout and Chris Bradley of the same gender?</t>
  </si>
  <si>
    <t>HA1</t>
  </si>
  <si>
    <t>HA2</t>
  </si>
  <si>
    <t>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</si>
</sst>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E1" workbookViewId="0">
      <selection activeCell="K1" sqref="K1"/>
    </sheetView>
  </sheetViews>
  <sheetFormatPr baseColWidth="10" defaultColWidth="8.83203125" defaultRowHeight="15" x14ac:dyDescent="0.2"/>
  <cols>
    <col min="1" max="1" width="39.6640625" customWidth="1"/>
    <col min="2" max="2" width="24.83203125" customWidth="1"/>
    <col min="3" max="3" width="52" customWidth="1"/>
    <col min="4" max="4" width="52.6640625" customWidth="1"/>
    <col min="5" max="5" width="54.5" customWidth="1"/>
    <col min="6" max="6" width="33.83203125" customWidth="1"/>
    <col min="7" max="7" width="25.6640625" customWidth="1"/>
    <col min="8" max="8" width="34.83203125" customWidth="1"/>
    <col min="9" max="9" width="12.5" customWidth="1"/>
    <col min="10" max="10" width="14.6640625" customWidth="1"/>
    <col min="11" max="11" width="1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138</v>
      </c>
      <c r="J1" s="3" t="s">
        <v>139</v>
      </c>
      <c r="K1" s="4" t="s">
        <v>140</v>
      </c>
    </row>
    <row r="2" spans="1:11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s="2">
        <v>1</v>
      </c>
      <c r="J2" s="2">
        <v>1</v>
      </c>
      <c r="K2" s="2">
        <v>1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 t="s">
        <v>18</v>
      </c>
      <c r="F3">
        <v>1</v>
      </c>
      <c r="G3" t="s">
        <v>13</v>
      </c>
      <c r="H3" t="s">
        <v>14</v>
      </c>
      <c r="I3" s="2">
        <v>1</v>
      </c>
      <c r="J3" s="2">
        <v>1</v>
      </c>
      <c r="K3" s="2">
        <v>1</v>
      </c>
    </row>
    <row r="4" spans="1:11" x14ac:dyDescent="0.2">
      <c r="A4" t="s">
        <v>19</v>
      </c>
      <c r="B4" t="s">
        <v>20</v>
      </c>
      <c r="C4" t="s">
        <v>21</v>
      </c>
      <c r="D4" t="s">
        <v>22</v>
      </c>
      <c r="E4" t="s">
        <v>22</v>
      </c>
      <c r="F4">
        <v>1</v>
      </c>
      <c r="G4" t="s">
        <v>13</v>
      </c>
      <c r="H4" t="s">
        <v>14</v>
      </c>
      <c r="I4" s="2">
        <v>1</v>
      </c>
      <c r="J4" s="2">
        <v>1</v>
      </c>
      <c r="K4" s="2">
        <v>1</v>
      </c>
    </row>
    <row r="5" spans="1:11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>
        <v>1</v>
      </c>
      <c r="G5" t="s">
        <v>13</v>
      </c>
      <c r="H5" t="s">
        <v>14</v>
      </c>
      <c r="I5" s="2">
        <v>0</v>
      </c>
      <c r="J5" s="2">
        <v>0</v>
      </c>
      <c r="K5" s="2">
        <v>0</v>
      </c>
    </row>
    <row r="6" spans="1:11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>
        <v>1</v>
      </c>
      <c r="G6" t="s">
        <v>13</v>
      </c>
      <c r="H6" t="s">
        <v>14</v>
      </c>
      <c r="I6" s="2">
        <v>1</v>
      </c>
      <c r="J6" s="2">
        <v>1</v>
      </c>
      <c r="K6" s="2">
        <v>1</v>
      </c>
    </row>
    <row r="7" spans="1:11" x14ac:dyDescent="0.2">
      <c r="A7" t="s">
        <v>33</v>
      </c>
      <c r="B7" t="s">
        <v>34</v>
      </c>
      <c r="C7" t="s">
        <v>35</v>
      </c>
      <c r="D7" t="s">
        <v>36</v>
      </c>
      <c r="E7" t="s">
        <v>36</v>
      </c>
      <c r="F7">
        <v>1</v>
      </c>
      <c r="G7" t="s">
        <v>13</v>
      </c>
      <c r="H7" t="s">
        <v>14</v>
      </c>
      <c r="I7" s="2">
        <v>1</v>
      </c>
      <c r="J7" s="2">
        <v>1</v>
      </c>
      <c r="K7" s="2">
        <v>1</v>
      </c>
    </row>
    <row r="8" spans="1:11" x14ac:dyDescent="0.2">
      <c r="A8" t="s">
        <v>37</v>
      </c>
      <c r="B8" t="s">
        <v>38</v>
      </c>
      <c r="C8" t="s">
        <v>39</v>
      </c>
      <c r="D8" t="s">
        <v>40</v>
      </c>
      <c r="E8" t="s">
        <v>40</v>
      </c>
      <c r="F8">
        <v>1</v>
      </c>
      <c r="G8" t="s">
        <v>13</v>
      </c>
      <c r="H8" t="s">
        <v>14</v>
      </c>
      <c r="I8" s="2">
        <v>1</v>
      </c>
      <c r="J8" s="2">
        <v>1</v>
      </c>
      <c r="K8" s="2">
        <v>1</v>
      </c>
    </row>
    <row r="9" spans="1:11" x14ac:dyDescent="0.2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</v>
      </c>
      <c r="G9" t="s">
        <v>13</v>
      </c>
      <c r="H9" t="s">
        <v>14</v>
      </c>
      <c r="I9" s="2">
        <v>1</v>
      </c>
      <c r="J9" s="2">
        <v>1</v>
      </c>
      <c r="K9" s="2">
        <v>1</v>
      </c>
    </row>
    <row r="10" spans="1:11" x14ac:dyDescent="0.2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1</v>
      </c>
      <c r="G10" t="s">
        <v>51</v>
      </c>
      <c r="H10" t="s">
        <v>52</v>
      </c>
      <c r="I10" s="2">
        <v>1</v>
      </c>
      <c r="J10" s="2">
        <v>1</v>
      </c>
      <c r="K10" s="2">
        <v>1</v>
      </c>
    </row>
    <row r="11" spans="1:11" x14ac:dyDescent="0.2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>
        <v>1</v>
      </c>
      <c r="G11" t="s">
        <v>51</v>
      </c>
      <c r="H11" t="s">
        <v>52</v>
      </c>
      <c r="I11" s="2">
        <v>1</v>
      </c>
      <c r="J11" s="2">
        <v>1</v>
      </c>
      <c r="K11" s="2">
        <v>1</v>
      </c>
    </row>
    <row r="12" spans="1:11" x14ac:dyDescent="0.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>
        <v>1</v>
      </c>
      <c r="G12" t="s">
        <v>51</v>
      </c>
      <c r="H12" t="s">
        <v>52</v>
      </c>
      <c r="I12" s="2">
        <v>1</v>
      </c>
      <c r="J12" s="2">
        <v>1</v>
      </c>
      <c r="K12" s="2">
        <v>1</v>
      </c>
    </row>
    <row r="13" spans="1:11" x14ac:dyDescent="0.2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>
        <v>0</v>
      </c>
      <c r="G13" t="s">
        <v>51</v>
      </c>
      <c r="H13" t="s">
        <v>52</v>
      </c>
      <c r="I13" s="2">
        <v>0</v>
      </c>
      <c r="J13" s="2">
        <v>0</v>
      </c>
      <c r="K13" s="2">
        <v>0</v>
      </c>
    </row>
    <row r="14" spans="1:11" x14ac:dyDescent="0.2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>
        <v>1</v>
      </c>
      <c r="G14" t="s">
        <v>51</v>
      </c>
      <c r="H14" t="s">
        <v>52</v>
      </c>
      <c r="I14" s="2">
        <v>1</v>
      </c>
      <c r="J14" s="2">
        <v>1</v>
      </c>
      <c r="K14" s="2">
        <v>1</v>
      </c>
    </row>
    <row r="15" spans="1:11" x14ac:dyDescent="0.2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>
        <v>1</v>
      </c>
      <c r="G15" t="s">
        <v>51</v>
      </c>
      <c r="H15" t="s">
        <v>52</v>
      </c>
      <c r="I15" s="2">
        <v>1</v>
      </c>
      <c r="J15" s="2">
        <v>1</v>
      </c>
      <c r="K15" s="2">
        <v>1</v>
      </c>
    </row>
    <row r="16" spans="1:11" x14ac:dyDescent="0.2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>
        <v>1</v>
      </c>
      <c r="G16" t="s">
        <v>83</v>
      </c>
      <c r="H16" t="s">
        <v>84</v>
      </c>
      <c r="I16" s="2">
        <v>1</v>
      </c>
      <c r="J16" s="2">
        <v>1</v>
      </c>
      <c r="K16" s="2">
        <v>1</v>
      </c>
    </row>
    <row r="17" spans="1:11" x14ac:dyDescent="0.2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>
        <v>0</v>
      </c>
      <c r="G17" t="s">
        <v>83</v>
      </c>
      <c r="H17" t="s">
        <v>84</v>
      </c>
      <c r="I17" s="2">
        <v>0</v>
      </c>
      <c r="J17" s="2">
        <v>1</v>
      </c>
      <c r="K17" s="2">
        <v>1</v>
      </c>
    </row>
    <row r="18" spans="1:11" x14ac:dyDescent="0.2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>
        <v>1</v>
      </c>
      <c r="G18" t="s">
        <v>83</v>
      </c>
      <c r="H18" t="s">
        <v>84</v>
      </c>
      <c r="I18" s="2">
        <v>1</v>
      </c>
      <c r="J18" s="2">
        <v>1</v>
      </c>
      <c r="K18" s="2">
        <v>1</v>
      </c>
    </row>
    <row r="19" spans="1:11" x14ac:dyDescent="0.2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>
        <v>1</v>
      </c>
      <c r="G19" t="s">
        <v>83</v>
      </c>
      <c r="H19" t="s">
        <v>84</v>
      </c>
      <c r="I19" s="2">
        <v>1</v>
      </c>
      <c r="J19" s="2">
        <v>0</v>
      </c>
      <c r="K19" s="2">
        <v>1</v>
      </c>
    </row>
    <row r="20" spans="1:11" x14ac:dyDescent="0.2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>
        <v>1</v>
      </c>
      <c r="G20" t="s">
        <v>83</v>
      </c>
      <c r="H20" t="s">
        <v>84</v>
      </c>
      <c r="I20" s="2">
        <v>1</v>
      </c>
      <c r="J20" s="2">
        <v>1</v>
      </c>
      <c r="K20" s="2">
        <v>1</v>
      </c>
    </row>
    <row r="21" spans="1:11" x14ac:dyDescent="0.2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>
        <v>1</v>
      </c>
      <c r="G21" t="s">
        <v>110</v>
      </c>
      <c r="H21" t="s">
        <v>111</v>
      </c>
      <c r="I21" s="2">
        <v>1</v>
      </c>
      <c r="J21" s="2">
        <v>1</v>
      </c>
      <c r="K21" s="2">
        <v>1</v>
      </c>
    </row>
    <row r="22" spans="1:11" x14ac:dyDescent="0.2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>
        <v>1</v>
      </c>
      <c r="G22" t="s">
        <v>110</v>
      </c>
      <c r="H22" t="s">
        <v>111</v>
      </c>
      <c r="I22" s="2">
        <v>1</v>
      </c>
      <c r="J22" s="2">
        <v>1</v>
      </c>
      <c r="K22" s="2">
        <v>1</v>
      </c>
    </row>
    <row r="23" spans="1:11" x14ac:dyDescent="0.2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>
        <v>1</v>
      </c>
      <c r="G23" t="s">
        <v>110</v>
      </c>
      <c r="H23" t="s">
        <v>111</v>
      </c>
      <c r="I23" s="2">
        <v>1</v>
      </c>
      <c r="J23" s="2">
        <v>0</v>
      </c>
      <c r="K23" s="2">
        <v>1</v>
      </c>
    </row>
    <row r="24" spans="1:11" x14ac:dyDescent="0.2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>
        <v>1</v>
      </c>
      <c r="G24" t="s">
        <v>127</v>
      </c>
      <c r="H24" t="s">
        <v>127</v>
      </c>
      <c r="I24" s="2">
        <v>1</v>
      </c>
      <c r="J24" s="2">
        <v>1</v>
      </c>
      <c r="K24" s="2">
        <v>1</v>
      </c>
    </row>
    <row r="25" spans="1:11" x14ac:dyDescent="0.2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>
        <v>1</v>
      </c>
      <c r="G25" t="s">
        <v>127</v>
      </c>
      <c r="H25" t="s">
        <v>127</v>
      </c>
      <c r="I25" s="2">
        <v>1</v>
      </c>
      <c r="J25" s="2">
        <v>1</v>
      </c>
      <c r="K25" s="2">
        <v>0</v>
      </c>
    </row>
    <row r="26" spans="1:11" x14ac:dyDescent="0.2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>
        <v>1</v>
      </c>
      <c r="G26" t="s">
        <v>127</v>
      </c>
      <c r="H26" t="s">
        <v>127</v>
      </c>
      <c r="I26" s="2">
        <v>1</v>
      </c>
      <c r="J26" s="2">
        <v>1</v>
      </c>
      <c r="K26" s="2">
        <v>1</v>
      </c>
    </row>
    <row r="27" spans="1:11" x14ac:dyDescent="0.2">
      <c r="I27" s="2">
        <f>COUNTIF(I2:I26,1)</f>
        <v>22</v>
      </c>
      <c r="J27" s="2">
        <f>COUNTIF(J2:J26,1)</f>
        <v>21</v>
      </c>
      <c r="K27" s="2">
        <f>COUNTIF(K2:K26,1)</f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cypherbench_examples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Sriom Chakrabarti</cp:lastModifiedBy>
  <dcterms:created xsi:type="dcterms:W3CDTF">2026-07-19T09:08:21Z</dcterms:created>
  <dcterms:modified xsi:type="dcterms:W3CDTF">2026-07-19T09:26:35Z</dcterms:modified>
</cp:coreProperties>
</file>