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8980" tabRatio="600" firstSheet="0" activeTab="0" autoFilterDateGrouping="1"/>
  </bookViews>
  <sheets>
    <sheet name="mind_the_query_examples" sheetId="1" state="visible" r:id="rId1"/>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sz val="11"/>
    </font>
    <font>
      <name val="Calibri"/>
      <family val="2"/>
      <color theme="1"/>
      <sz val="11"/>
      <scheme val="minor"/>
    </font>
    <font>
      <name val="Calibri"/>
      <family val="2"/>
      <b val="1"/>
      <color theme="1"/>
      <sz val="11"/>
      <scheme val="minor"/>
    </font>
    <font>
      <name val="Calibri"/>
      <family val="2"/>
      <b val="1"/>
      <color theme="1"/>
      <sz val="1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s>
  <cellStyleXfs count="1">
    <xf numFmtId="0" fontId="2"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3" fillId="0" borderId="0" pivotButton="0" quotePrefix="0" xfId="0"/>
    <xf numFmtId="0" fontId="4"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tabSelected="1" topLeftCell="F1" workbookViewId="0">
      <selection activeCell="P16" sqref="P16"/>
    </sheetView>
  </sheetViews>
  <sheetFormatPr baseColWidth="10" defaultColWidth="8.83203125" defaultRowHeight="15"/>
  <cols>
    <col width="23.6640625" customWidth="1" min="1" max="1"/>
    <col width="28.33203125" customWidth="1" min="2" max="2"/>
    <col width="36.83203125" customWidth="1" min="3" max="3"/>
    <col width="43.33203125" customWidth="1" min="4" max="4"/>
    <col width="36.33203125" customWidth="1" min="5" max="5"/>
    <col width="34.83203125" customWidth="1" min="6" max="6"/>
    <col width="33.83203125" customWidth="1" min="7" max="7"/>
    <col width="41" customWidth="1" min="8" max="8"/>
    <col width="15.33203125" customWidth="1" min="9" max="9"/>
    <col width="17" customWidth="1" min="10" max="10"/>
    <col width="17.6640625" customWidth="1" min="11" max="11"/>
  </cols>
  <sheetData>
    <row r="1">
      <c r="A1" s="1" t="inlineStr">
        <is>
          <t>id</t>
        </is>
      </c>
      <c r="B1" s="1" t="inlineStr">
        <is>
          <t>test_id</t>
        </is>
      </c>
      <c r="C1" s="1" t="inlineStr">
        <is>
          <t>cypher_query</t>
        </is>
      </c>
      <c r="D1" s="1" t="inlineStr">
        <is>
          <t>gold_translation</t>
        </is>
      </c>
      <c r="E1" s="1" t="inlineStr">
        <is>
          <t>csencoder_gpt4omini_translation</t>
        </is>
      </c>
      <c r="F1" s="1" t="inlineStr">
        <is>
          <t>llm_as_judge</t>
        </is>
      </c>
      <c r="G1" s="1" t="inlineStr">
        <is>
          <t>primary_pattern</t>
        </is>
      </c>
      <c r="H1" s="1" t="inlineStr">
        <is>
          <t>all_patterns</t>
        </is>
      </c>
      <c r="I1" s="3" t="inlineStr">
        <is>
          <t>HA1</t>
        </is>
      </c>
      <c r="J1" s="3" t="inlineStr">
        <is>
          <t>HA2</t>
        </is>
      </c>
      <c r="K1" s="4" t="inlineStr">
        <is>
          <t>HA3</t>
        </is>
      </c>
    </row>
    <row r="2">
      <c r="A2" t="inlineStr">
        <is>
          <t>healthcare_data_3_1_2_6_Complex_Aggregation_1094</t>
        </is>
      </c>
      <c r="B2" t="inlineStr">
        <is>
          <t>test_2881</t>
        </is>
      </c>
      <c r="C2" t="inlineStr">
        <is>
          <t>MATCH (c:Case)-[:REPORTED_BY]-&gt;(rs:ReportSource {name: 'Company Representative'})-[*0..1]-&gt;(t:Therapy)-[:PRESCRIBED]-&gt;(d:Drug) RETURN COUNT(DISTINCT d) AS distinctDrugCount</t>
        </is>
      </c>
      <c r="D2" t="inlineStr">
        <is>
          <t>For cases reported by 'Company Representative', what is the count of distinct drugs prescribed in therapies associated with these cases?</t>
        </is>
      </c>
      <c r="E2" t="inlineStr">
        <is>
          <t>For cases reported by a 'Company Representative', what is the count of distinct drugs prescribed in therapies associated with those cases?</t>
        </is>
      </c>
      <c r="F2" t="n">
        <v>1</v>
      </c>
      <c r="G2" t="inlineStr">
        <is>
          <t>variable_length_path</t>
        </is>
      </c>
      <c r="H2" t="inlineStr">
        <is>
          <t>variable_length_path, match_return</t>
        </is>
      </c>
      <c r="I2" s="2" t="n">
        <v>1</v>
      </c>
      <c r="J2" s="2" t="n">
        <v>1</v>
      </c>
      <c r="K2" s="2" t="n">
        <v>1</v>
      </c>
    </row>
    <row r="3">
      <c r="A3" t="inlineStr">
        <is>
          <t>pole_data_3_2_2_6_Complex_Aggregation_296</t>
        </is>
      </c>
      <c r="B3" t="inlineStr">
        <is>
          <t>test_5080</t>
        </is>
      </c>
      <c r="C3" t="inlineStr">
        <is>
          <t>MATCH (p:Person)-[:KNOWS_PHONE]-&gt;(other:Person)-[:HAS_PHONE]-&gt;(ph:Phone) WITH p, ph MATCH (call:PhoneCall)-[:CALLED]-&gt;(ph) WITH p, COUNT(DISTINCT ph) AS knownPhoneCount, COUNT(call) AS totalCalls, COLLECT(DISTINCT ph) AS phoneNumbers RETURN p.name, knownPhoneCount, toFloat(totalCalls) / knownPhoneCount AS avgCallsPerNumber</t>
        </is>
      </c>
      <c r="D3" t="inlineStr">
        <is>
          <t>For each person, calculate the total number of distinct phone numbers they know and the average number of phone calls made to those numbers. Return the person's name, the total number of known phone numbers, and the average number of calls to each known number.</t>
        </is>
      </c>
      <c r="E3" t="inlineStr">
        <is>
          <t>For each person, how many distinct phone numbers are they known to, what is the total number of phone calls made to those numbers, and what is the average number of calls per known phone number?</t>
        </is>
      </c>
      <c r="F3" t="n">
        <v>0</v>
      </c>
      <c r="G3" t="inlineStr">
        <is>
          <t>call_procedure</t>
        </is>
      </c>
      <c r="H3" t="inlineStr">
        <is>
          <t>with_clause, call_procedure, match_return</t>
        </is>
      </c>
      <c r="I3" s="2" t="n">
        <v>1</v>
      </c>
      <c r="J3" s="2" t="n">
        <v>1</v>
      </c>
      <c r="K3" s="2" t="n">
        <v>0</v>
      </c>
    </row>
    <row r="4">
      <c r="A4" t="inlineStr">
        <is>
          <t>pole_data_3_2_2_6_Complex_Aggregation_528</t>
        </is>
      </c>
      <c r="B4" t="inlineStr">
        <is>
          <t>test_5167</t>
        </is>
      </c>
      <c r="C4" t="inlineStr">
        <is>
          <t>MATCH (pc:PostCode)&lt;-[:HAS_POSTCODE]-(l:Location)&lt;-[:OCCURRED_AT]-(c:Crime)
WITH pc, COUNT(c) AS crimeCount, l
MATCH (l)&lt;-[:CURRENT_ADDRESS]-(p:Person)-[:HAS_PHONE]-&gt;(ph:Phone)&lt;-[:CALLER]-(call:PhoneCall)
WITH pc, crimeCount, COUNT(call) AS callCount
RETURN pc.code, AVG(crimeCount), AVG(callCount)</t>
        </is>
      </c>
      <c r="D4" t="inlineStr">
        <is>
          <t>For each postcode, what is the average number of crimes occurring at locations with that postcode and the average number of phone calls made from phones associated with people living at those locations?</t>
        </is>
      </c>
      <c r="E4" t="inlineStr">
        <is>
          <t>For each postcode, what is the average number of crimes that occurred at locations with that postcode and the average number of phone calls made from phones associated with people living at those locations?</t>
        </is>
      </c>
      <c r="F4" t="n">
        <v>0</v>
      </c>
      <c r="G4" t="inlineStr">
        <is>
          <t>call_procedure</t>
        </is>
      </c>
      <c r="H4" t="inlineStr">
        <is>
          <t>with_clause, call_procedure, match_return</t>
        </is>
      </c>
      <c r="I4" s="2" t="n">
        <v>1</v>
      </c>
      <c r="J4" s="2" t="n">
        <v>0</v>
      </c>
      <c r="K4" s="2" t="n">
        <v>1</v>
      </c>
    </row>
    <row r="5">
      <c r="A5" t="inlineStr">
        <is>
          <t>bloom50_data_3_4_2_6_Complex_Aggregation_127</t>
        </is>
      </c>
      <c r="B5" t="inlineStr">
        <is>
          <t>test_12</t>
        </is>
      </c>
      <c r="C5" t="inlineStr">
        <is>
          <t>MATCH (ah:AccountHolder) OPTIONAL MATCH (ah)-[:HAS_BANKACCOUNT]-&gt;(ba:BankAccount) WITH ah, AVG(ba.balance) AS averageBalance OPTIONAL MATCH (ah)-[:HAS_CREDITCARD]-&gt;(cc:CreditCard) WITH ah, averageBalance, COUNT(cc) AS totalCreditCards RETURN ah.fullName, averageBalance, totalCreditCards</t>
        </is>
      </c>
      <c r="D5" t="inlineStr">
        <is>
          <t>For each AccountHolder, what is the average balance of their BankAccounts and the total number of CreditCards they possess?</t>
        </is>
      </c>
      <c r="E5" t="inlineStr">
        <is>
          <t>For each AccountHolder, what is the average balance of their BankAccounts and the total number of CreditCards they possess?</t>
        </is>
      </c>
      <c r="F5" t="n">
        <v>1</v>
      </c>
      <c r="G5" t="inlineStr">
        <is>
          <t>optional_match</t>
        </is>
      </c>
      <c r="H5" t="inlineStr">
        <is>
          <t>optional_match, with_clause, match_return</t>
        </is>
      </c>
      <c r="I5" s="2" t="n">
        <v>1</v>
      </c>
      <c r="J5" s="2" t="n">
        <v>1</v>
      </c>
      <c r="K5" s="2" t="n">
        <v>1</v>
      </c>
    </row>
    <row r="6">
      <c r="A6" t="inlineStr">
        <is>
          <t>bloom50_data_3_4_2_6_Complex_Aggregation_134</t>
        </is>
      </c>
      <c r="B6" t="inlineStr">
        <is>
          <t>test_17</t>
        </is>
      </c>
      <c r="C6" t="inlineStr">
        <is>
          <t>MATCH (fi:FinancialInstitute)&lt;-[:FROM]-(ba:BankAccount) WITH fi, ba OPTIONAL MATCH (ba)-[:SEND]-&gt;(mt:MoneyTransfer) WITH fi, ba, count(mt) AS transferCount RETURN fi.name AS FinancialInstituteName, avg(ba.balance) AS AverageBalance, sum(transferCount) AS TotalMoneyTransfers</t>
        </is>
      </c>
      <c r="D6" t="inlineStr">
        <is>
          <t>For each FinancialInstitute, what is the average balance of the BankAccounts FROM it, and how many MoneyTransfers are SEND from these accounts?</t>
        </is>
      </c>
      <c r="E6" t="inlineStr">
        <is>
          <t>For each FinancialInstitute, what is the average balance of the associated BankAccounts, and how many MoneyTransfers have been sent from those accounts?</t>
        </is>
      </c>
      <c r="F6" t="n">
        <v>0</v>
      </c>
      <c r="G6" t="inlineStr">
        <is>
          <t>optional_match</t>
        </is>
      </c>
      <c r="H6" t="inlineStr">
        <is>
          <t>optional_match, with_clause, match_return</t>
        </is>
      </c>
      <c r="I6" s="2" t="n">
        <v>1</v>
      </c>
      <c r="J6" s="2" t="n">
        <v>1</v>
      </c>
      <c r="K6" s="2" t="n">
        <v>1</v>
      </c>
    </row>
    <row r="7">
      <c r="A7" t="inlineStr">
        <is>
          <t>bloom50_data_3_5_2_6_Complex_Aggregation_36</t>
        </is>
      </c>
      <c r="B7" t="inlineStr">
        <is>
          <t>test_41</t>
        </is>
      </c>
      <c r="C7" t="inlineStr">
        <is>
          <t>MATCH (ah:AccountHolder)-[:HAS_BANKACCOUNT]-&gt;(ba:BankAccount) WITH ah, ba.balance AS bankBalance OPTIONAL MATCH (ah)-[:HAS_CREDITCARD]-&gt;(cc:CreditCard) WITH ah, bankBalance, cc.balance AS creditBalance RETURN ah.fullName, avg(bankBalance + coalesce(creditBalance, 0)) AS averageCombinedBalance</t>
        </is>
      </c>
      <c r="D7" t="inlineStr">
        <is>
          <t>For each AccountHolder, what is the average balance of their BankAccounts and CreditCards combined?</t>
        </is>
      </c>
      <c r="E7" t="inlineStr">
        <is>
          <t>For each AccountHolder, what is the average combined balance of their BankAccounts and CreditCards?</t>
        </is>
      </c>
      <c r="F7" t="n">
        <v>1</v>
      </c>
      <c r="G7" t="inlineStr">
        <is>
          <t>optional_match</t>
        </is>
      </c>
      <c r="H7" t="inlineStr">
        <is>
          <t>optional_match, with_clause, match_return</t>
        </is>
      </c>
      <c r="I7" s="2" t="n">
        <v>1</v>
      </c>
      <c r="J7" s="2" t="n">
        <v>1</v>
      </c>
      <c r="K7" s="2" t="n">
        <v>1</v>
      </c>
    </row>
    <row r="8">
      <c r="A8" t="inlineStr">
        <is>
          <t>bloom50_data_3_5_2_6_Complex_Aggregation_106</t>
        </is>
      </c>
      <c r="B8" t="inlineStr">
        <is>
          <t>test_80</t>
        </is>
      </c>
      <c r="C8" t="inlineStr">
        <is>
          <t>MATCH (ah:AccountHolder)-[:HAS_CREDITCARD]-&gt;(cc:CreditCard) WITH ah, SUM(cc.balance) AS totalCreditCardBalance OPTIONAL MATCH (ah)-[:HAS_BANKACCOUNT]-&gt;(ba:BankAccount) WITH ah, totalCreditCardBalance, SUM(ba.balance) AS totalBankAccountBalance RETURN ah.fullName, totalCreditCardBalance + totalBankAccountBalance AS totalBalance</t>
        </is>
      </c>
      <c r="D8" t="inlineStr">
        <is>
          <t>For each AccountHolder, what is the total balance of their CreditCards and BankAccounts combined?</t>
        </is>
      </c>
      <c r="E8" t="inlineStr">
        <is>
          <t>What is the total balance for each AccountHolder, calculated as the sum of their CreditCard balances and BankAccount balances?</t>
        </is>
      </c>
      <c r="F8" t="n">
        <v>1</v>
      </c>
      <c r="G8" t="inlineStr">
        <is>
          <t>optional_match</t>
        </is>
      </c>
      <c r="H8" t="inlineStr">
        <is>
          <t>optional_match, with_clause, match_return</t>
        </is>
      </c>
      <c r="I8" s="2" t="n">
        <v>1</v>
      </c>
      <c r="J8" s="2" t="n">
        <v>0</v>
      </c>
      <c r="K8" s="2" t="n">
        <v>1</v>
      </c>
    </row>
    <row r="9">
      <c r="A9" t="inlineStr">
        <is>
          <t>covid_data_3_2_2_6_Complex_Aggregation_381</t>
        </is>
      </c>
      <c r="B9" t="inlineStr">
        <is>
          <t>test_549</t>
        </is>
      </c>
      <c r="C9" t="inlineStr">
        <is>
          <t>MATCH (p:Person)-[v:VISITS]-&gt;(pl:Place)-[:PART_OF]-&gt;(r:Region) WITH r.name AS regionName, p.healthstatus AS healthStatus, p, COUNT(v) AS visitCount WITH regionName, healthStatus, AVG(visitCount) AS avgVisitCount WHERE healthStatus = 'Healthy' WITH regionName, avgVisitCount AS avgHealthyVisits OPTIONAL MATCH (p:Person)-[v:VISITS]-&gt;(pl:Place)-[:PART_OF]-&gt;(r:Region) WHERE r.name = regionName AND p.healthstatus = 'Sick' WITH regionName, avgHealthyVisits, COUNT(v) AS sickVisitCount RETURN regionName, avgHealthyVisits, sickVisitCount</t>
        </is>
      </c>
      <c r="D9" t="inlineStr">
        <is>
          <t>For each region, find the average number of visits performed by persons with 'Healthy' status and the average number of visits performed by persons with 'Sick' status. Return the region name, average 'Healthy' visits, and average 'Sick' visits.</t>
        </is>
      </c>
      <c r="E9" t="inlineStr">
        <is>
          <t>For each region, what is the average number of visits performed by persons with a health status of 'Healthy', and how many visits were made by persons with a health status of 'Sick'?</t>
        </is>
      </c>
      <c r="F9" t="n">
        <v>0</v>
      </c>
      <c r="G9" t="inlineStr">
        <is>
          <t>optional_match</t>
        </is>
      </c>
      <c r="H9" t="inlineStr">
        <is>
          <t>optional_match, with_clause, match_where_return</t>
        </is>
      </c>
      <c r="I9" s="2" t="n">
        <v>0</v>
      </c>
      <c r="J9" s="2" t="n">
        <v>0</v>
      </c>
      <c r="K9" s="2" t="n">
        <v>0</v>
      </c>
    </row>
    <row r="10">
      <c r="A10" t="inlineStr">
        <is>
          <t>er_data_3_2_2_6_Complex_Aggregation_403</t>
        </is>
      </c>
      <c r="B10" t="inlineStr">
        <is>
          <t>test_1282</t>
        </is>
      </c>
      <c r="C10" t="inlineStr">
        <is>
          <t>MATCH (u:User)-[w:WATCHED]-&gt;(m:Movie)
OPTIONAL MATCH (u)-[:USES]-&gt;(ip:IpAddress)
RETURN u.state AS State,
avg(w.watchCount) AS AverageWatchCount, count(DISTINCT ip.address) AS DistinctIpAddresses</t>
        </is>
      </c>
      <c r="D10" t="inlineStr">
        <is>
          <t>For each user state, what is the average number of movies watched per user and the total number of distinct IP addresses used by users in that state?</t>
        </is>
      </c>
      <c r="E10" t="inlineStr">
        <is>
          <t>For each user state, what is the average number of movies watched and the total number of distinct IP addresses used by users in that state?</t>
        </is>
      </c>
      <c r="F10" t="n">
        <v>1</v>
      </c>
      <c r="G10" t="inlineStr">
        <is>
          <t>optional_match</t>
        </is>
      </c>
      <c r="H10" t="inlineStr">
        <is>
          <t>optional_match, match_return</t>
        </is>
      </c>
      <c r="I10" s="2" t="n">
        <v>1</v>
      </c>
      <c r="J10" s="2" t="n">
        <v>1</v>
      </c>
      <c r="K10" s="2" t="n">
        <v>1</v>
      </c>
    </row>
    <row r="11">
      <c r="A11" t="inlineStr">
        <is>
          <t>bloom50_data_3_4_2_6_Complex_Aggregation_106</t>
        </is>
      </c>
      <c r="B11" t="inlineStr">
        <is>
          <t>test_0</t>
        </is>
      </c>
      <c r="C11" t="inlineStr">
        <is>
          <t>MATCH (p:Purchase)-[:FROM_IP]-&gt;(ip:IP)-[:LOCATED_IN]-&gt;(s:State) WITH s, AVG(p.amount) AS averagePurchaseAmount, COUNT(DISTINCT ip) AS distinctIpCount RETURN s.name, averagePurchaseAmount, distinctIpCount</t>
        </is>
      </c>
      <c r="D11" t="inlineStr">
        <is>
          <t>For each state, what is the average amount of purchases made from IPs located in that state, and how many distinct IPs contributed to those purchases?</t>
        </is>
      </c>
      <c r="E11" t="inlineStr">
        <is>
          <t>For each state, what is the average purchase amount made by purchases originating from IPs located in that state, and how many distinct IPs are associated with those purchases?</t>
        </is>
      </c>
      <c r="F11" t="n">
        <v>1</v>
      </c>
      <c r="G11" t="inlineStr">
        <is>
          <t>with_clause</t>
        </is>
      </c>
      <c r="H11" t="inlineStr">
        <is>
          <t>with_clause, match_return</t>
        </is>
      </c>
      <c r="I11" s="2" t="n">
        <v>1</v>
      </c>
      <c r="J11" s="2" t="n">
        <v>1</v>
      </c>
      <c r="K11" s="2" t="n">
        <v>1</v>
      </c>
    </row>
    <row r="12">
      <c r="A12" t="inlineStr">
        <is>
          <t>bloom50_data_3_4_2_6_Complex_Aggregation_107</t>
        </is>
      </c>
      <c r="B12" t="inlineStr">
        <is>
          <t>test_1</t>
        </is>
      </c>
      <c r="C12" t="inlineStr">
        <is>
          <t>MATCH (ah:AccountHolder)-[:HAS_ADDRESS]-&gt;(a:Address) WITH ah, a.state AS state MATCH (ah)-[:HAS_CREDITCARD]-&gt;(cc:CreditCard) WITH state, AVG(cc.balance) AS averageBalance, COUNT(cc) AS creditCardCount RETURN state, averageBalance, creditCardCount</t>
        </is>
      </c>
      <c r="D12" t="inlineStr">
        <is>
          <t>What is the average balance of CreditCards held by AccountHolders, grouped by the state where the AccountHolder's address is located, and how many credit cards are in each group?</t>
        </is>
      </c>
      <c r="E12" t="inlineStr">
        <is>
          <t>For each state, what is the average balance of credit cards held by account holders with addresses in that state, and how many credit cards are held by account holders in each state?</t>
        </is>
      </c>
      <c r="F12" t="n">
        <v>1</v>
      </c>
      <c r="G12" t="inlineStr">
        <is>
          <t>with_clause</t>
        </is>
      </c>
      <c r="H12" t="inlineStr">
        <is>
          <t>with_clause, match_return</t>
        </is>
      </c>
      <c r="I12" s="2" t="n">
        <v>1</v>
      </c>
      <c r="J12" s="2" t="n">
        <v>0</v>
      </c>
      <c r="K12" s="2" t="n">
        <v>1</v>
      </c>
    </row>
    <row r="13">
      <c r="A13" t="inlineStr">
        <is>
          <t>bloom50_data_3_4_2_6_Complex_Aggregation_108</t>
        </is>
      </c>
      <c r="B13" t="inlineStr">
        <is>
          <t>test_2</t>
        </is>
      </c>
      <c r="C13" t="inlineStr">
        <is>
          <t>MATCH (mt:MoneyTransfer)-[:WITH]-&gt;(pn:PhoneNumber) WITH pn.provider AS provider, mt.amount AS amount MATCH (mt:MoneyTransfer)-[:WITH]-&gt;(pn:PhoneNumber) WHERE pn.provider = provider WITH provider, AVG(amount) AS avgAmount, COUNT(mt) AS transferCount RETURN provider, avgAmount, transferCount</t>
        </is>
      </c>
      <c r="D13" t="inlineStr">
        <is>
          <t>For each phone provider, what is the average amount of money transfers associated with phone numbers from that provider, and how many money transfers are associated with each provider?</t>
        </is>
      </c>
      <c r="E13" t="inlineStr">
        <is>
          <t>For each provider of PhoneNumber, what is the average amount of MoneyTransfer transactions associated with that provider, and how many MoneyTransfer transactions are linked to each provider?</t>
        </is>
      </c>
      <c r="F13" t="n">
        <v>1</v>
      </c>
      <c r="G13" t="inlineStr">
        <is>
          <t>with_clause</t>
        </is>
      </c>
      <c r="H13" t="inlineStr">
        <is>
          <t>with_clause, match_where_return</t>
        </is>
      </c>
      <c r="I13" s="2" t="n">
        <v>1</v>
      </c>
      <c r="J13" s="2" t="n">
        <v>1</v>
      </c>
      <c r="K13" s="2" t="n">
        <v>0</v>
      </c>
    </row>
    <row r="14">
      <c r="A14" t="inlineStr">
        <is>
          <t>bloom50_data_3_4_2_6_Complex_Aggregation_112</t>
        </is>
      </c>
      <c r="B14" t="inlineStr">
        <is>
          <t>test_3</t>
        </is>
      </c>
      <c r="C14" t="inlineStr">
        <is>
          <t>MATCH (mt:MoneyTransfer)-[r:WITH]-&gt;(pn:PhoneNumber) WITH pn.provider AS provider, AVG(mt.amount) AS avgAmount, COUNT(mt) AS totalTransfers RETURN provider, avgAmount, totalTransfers</t>
        </is>
      </c>
      <c r="D14" t="inlineStr">
        <is>
          <t>What is the average amount of money transfers associated with each phone provider, and what is the total number of money transfers for each provider?</t>
        </is>
      </c>
      <c r="E14" t="inlineStr">
        <is>
          <t>For each phone number provider, what is the average amount of money transferred and how many money transfers are associated with each provider?</t>
        </is>
      </c>
      <c r="F14" t="n">
        <v>0</v>
      </c>
      <c r="G14" t="inlineStr">
        <is>
          <t>with_clause</t>
        </is>
      </c>
      <c r="H14" t="inlineStr">
        <is>
          <t>with_clause, match_return</t>
        </is>
      </c>
      <c r="I14" s="2" t="n">
        <v>1</v>
      </c>
      <c r="J14" s="2" t="n">
        <v>1</v>
      </c>
      <c r="K14" s="2" t="n">
        <v>1</v>
      </c>
    </row>
    <row r="15">
      <c r="A15" t="inlineStr">
        <is>
          <t>bloom50_data_3_4_2_6_Complex_Aggregation_113</t>
        </is>
      </c>
      <c r="B15" t="inlineStr">
        <is>
          <t>test_4</t>
        </is>
      </c>
      <c r="C15" t="inlineStr">
        <is>
          <t>MATCH (ah:AccountHolder)-[:HAS_ADDRESS]-&gt;(addr:Address) WITH ah, addr MATCH (ah)-[:HAS_BANKACCOUNT]-&gt;(ba:BankAccount) WITH addr.state AS state, ba.balance AS balance, ah RETURN state, AVG(balance), count(ah)</t>
        </is>
      </c>
      <c r="D15" t="inlineStr">
        <is>
          <t>For each state, what is the average balance of bank accounts associated with account holders residing in that state, and how many account holders are associated with each state?</t>
        </is>
      </c>
      <c r="E15" t="inlineStr">
        <is>
          <t>For each state, what is the average balance of bank accounts held by account holders who have addresses in that state, and how many such account holders are there?</t>
        </is>
      </c>
      <c r="F15" t="n">
        <v>1</v>
      </c>
      <c r="G15" t="inlineStr">
        <is>
          <t>with_clause</t>
        </is>
      </c>
      <c r="H15" t="inlineStr">
        <is>
          <t>with_clause, match_return</t>
        </is>
      </c>
      <c r="I15" s="2" t="n">
        <v>1</v>
      </c>
      <c r="J15" s="2" t="n">
        <v>1</v>
      </c>
      <c r="K15" s="2" t="n">
        <v>1</v>
      </c>
    </row>
    <row r="16">
      <c r="A16" t="inlineStr">
        <is>
          <t>bloom50_data_3_5_2_6_Complex_Aggregation_14</t>
        </is>
      </c>
      <c r="B16" t="inlineStr">
        <is>
          <t>test_28</t>
        </is>
      </c>
      <c r="C16" t="inlineStr">
        <is>
          <t>MATCH (ah:AccountHolder)-[:HAS_BANKACCOUNT]-&gt;(ba:BankAccount) WHERE ah.birthDate = '1955-10-05' RETURN avg(ba.balance) AS AverageBalance</t>
        </is>
      </c>
      <c r="D16" t="inlineStr">
        <is>
          <t>What is the average balance of BankAccounts associated with AccountHolders who have a birth date of '1955-10-05'?</t>
        </is>
      </c>
      <c r="E16" t="inlineStr">
        <is>
          <t>What is the average balance of BankAccounts held by AccountHolders who have a birth date of '1955-10-05'?</t>
        </is>
      </c>
      <c r="F16" t="n">
        <v>1</v>
      </c>
      <c r="G16" t="inlineStr">
        <is>
          <t>match_where_return</t>
        </is>
      </c>
      <c r="H16" t="inlineStr">
        <is>
          <t>match_where_return</t>
        </is>
      </c>
      <c r="I16" s="2" t="n">
        <v>1</v>
      </c>
      <c r="J16" s="2" t="n">
        <v>1</v>
      </c>
      <c r="K16" s="2" t="n">
        <v>1</v>
      </c>
    </row>
    <row r="17">
      <c r="A17" t="inlineStr">
        <is>
          <t>bloom50_data_3_5_2_6_Complex_Aggregation_17</t>
        </is>
      </c>
      <c r="B17" t="inlineStr">
        <is>
          <t>test_31</t>
        </is>
      </c>
      <c r="C17" t="inlineStr">
        <is>
          <t>MATCH (p:Purchase)-[:FROM_IP]-&gt;(ip:IP {ip: '189.203.191.43'}) WHERE p.date = '2018-02-07' RETURN avg(p.amount) AS AveragePurchaseAmount</t>
        </is>
      </c>
      <c r="D17" t="inlineStr">
        <is>
          <t>What is the average purchase amount for purchases made from the IP address '189.203.191.43' on '2018-02-07'?</t>
        </is>
      </c>
      <c r="E17" t="inlineStr">
        <is>
          <t>What is the average amount spent on purchases made from the IP address '189.203.191.43' on the date '2018-02-07'?</t>
        </is>
      </c>
      <c r="F17" t="n">
        <v>1</v>
      </c>
      <c r="G17" t="inlineStr">
        <is>
          <t>match_where_return</t>
        </is>
      </c>
      <c r="H17" t="inlineStr">
        <is>
          <t>match_where_return</t>
        </is>
      </c>
      <c r="I17" s="2" t="n">
        <v>1</v>
      </c>
      <c r="J17" s="2" t="n">
        <v>1</v>
      </c>
      <c r="K17" s="2" t="n">
        <v>1</v>
      </c>
    </row>
    <row r="18">
      <c r="A18" t="inlineStr">
        <is>
          <t>bloom50_data_3_5_2_6_Complex_Aggregation_28</t>
        </is>
      </c>
      <c r="B18" t="inlineStr">
        <is>
          <t>test_35</t>
        </is>
      </c>
      <c r="C18" t="inlineStr">
        <is>
          <t>MATCH (fi:FinancialInstitute) WHERE fi.website CONTAINS 'biz' MATCH (fi)&lt;-[:FROM]-(ba:BankAccount) RETURN avg(ba.balance) AS AverageBalance</t>
        </is>
      </c>
      <c r="D18" t="inlineStr">
        <is>
          <t>What is the average balance of BankAccounts associated with FinancialInstitutes that have a website containing 'biz'?</t>
        </is>
      </c>
      <c r="E18" t="inlineStr">
        <is>
          <t>What is the average balance of BankAccounts associated with FinancialInstitutes whose website contains 'biz'?</t>
        </is>
      </c>
      <c r="F18" t="n">
        <v>1</v>
      </c>
      <c r="G18" t="inlineStr">
        <is>
          <t>match_where_return</t>
        </is>
      </c>
      <c r="H18" t="inlineStr">
        <is>
          <t>match_where_return</t>
        </is>
      </c>
      <c r="I18" s="2" t="n">
        <v>1</v>
      </c>
      <c r="J18" s="2" t="n">
        <v>1</v>
      </c>
      <c r="K18" s="2" t="n">
        <v>1</v>
      </c>
    </row>
    <row r="19">
      <c r="A19" t="inlineStr">
        <is>
          <t>bloom50_data_3_5_2_6_Complex_Aggregation_30</t>
        </is>
      </c>
      <c r="B19" t="inlineStr">
        <is>
          <t>test_37</t>
        </is>
      </c>
      <c r="C19" t="inlineStr">
        <is>
          <t>MATCH (s:Shop) WHERE s.name CONTAINS 'LLC' MATCH (s)&lt;-[:FOR_SHOP]-(l:Login)-[:WITH_LOGIN]-(p:Purchase) RETURN avg(p.amount) AS AveragePurchaseAmount</t>
        </is>
      </c>
      <c r="D19" t="inlineStr">
        <is>
          <t>What is the average amount of purchases made by logins associated with shops whose name contains 'LLC'?</t>
        </is>
      </c>
      <c r="E19" t="inlineStr">
        <is>
          <t>What is the average purchase amount for purchases made by logins associated with shops whose name contains 'LLC'?</t>
        </is>
      </c>
      <c r="F19" t="n">
        <v>1</v>
      </c>
      <c r="G19" t="inlineStr">
        <is>
          <t>match_where_return</t>
        </is>
      </c>
      <c r="H19" t="inlineStr">
        <is>
          <t>match_where_return</t>
        </is>
      </c>
      <c r="I19" s="2" t="n">
        <v>1</v>
      </c>
      <c r="J19" s="2" t="n">
        <v>1</v>
      </c>
      <c r="K19" s="2" t="n">
        <v>1</v>
      </c>
    </row>
    <row r="20">
      <c r="A20" t="inlineStr">
        <is>
          <t>bloom50_data_3_5_2_6_Complex_Aggregation_32</t>
        </is>
      </c>
      <c r="B20" t="inlineStr">
        <is>
          <t>test_39</t>
        </is>
      </c>
      <c r="C20" t="inlineStr">
        <is>
          <t>MATCH (ah:AccountHolder) WHERE ah.fullName = 'Sofia Pelyo' MATCH (ah)-[:HAS_UNSECUREDLOAN]-&gt;(ul:UnsecuredLoan) RETURN avg(ul.loanAmount) AS AverageLoanAmount</t>
        </is>
      </c>
      <c r="D20" t="inlineStr">
        <is>
          <t>What is the average loan amount for UnsecuredLoans associated with account holders whose full name is 'Sofia Pelyo'?</t>
        </is>
      </c>
      <c r="E20" t="inlineStr">
        <is>
          <t>What is the average loan amount of UnsecuredLoans associated with the account holder named 'Sofia Pelyo'?</t>
        </is>
      </c>
      <c r="F20" t="n">
        <v>1</v>
      </c>
      <c r="G20" t="inlineStr">
        <is>
          <t>match_where_return</t>
        </is>
      </c>
      <c r="H20" t="inlineStr">
        <is>
          <t>match_where_return</t>
        </is>
      </c>
      <c r="I20" s="2" t="n">
        <v>1</v>
      </c>
      <c r="J20" s="2" t="n">
        <v>0</v>
      </c>
      <c r="K20" s="2" t="n">
        <v>1</v>
      </c>
    </row>
    <row r="21">
      <c r="A21" t="inlineStr">
        <is>
          <t>bloom50_data_3_5_2_6_Complex_Aggregation_63</t>
        </is>
      </c>
      <c r="B21" t="inlineStr">
        <is>
          <t>test_57</t>
        </is>
      </c>
      <c r="C21" t="inlineStr">
        <is>
          <t>MATCH (ah:AccountHolder)-[:HAS_BANKACCOUNT]-&gt;(ba:BankAccount) WHERE ah.birthDate &lt; '1975-01-01' RETURN avg(ba.balance) AS AverageBalance</t>
        </is>
      </c>
      <c r="D21" t="inlineStr">
        <is>
          <t>What is the average balance of BankAccounts associated with AccountHolders who have a birthDate before '1975-01-01'?</t>
        </is>
      </c>
      <c r="E21" t="inlineStr">
        <is>
          <t>What is the average balance of BankAccounts held by AccountHolders who were born before January 1, 1975?</t>
        </is>
      </c>
      <c r="F21" t="n">
        <v>1</v>
      </c>
      <c r="G21" t="inlineStr">
        <is>
          <t>match_where_return</t>
        </is>
      </c>
      <c r="H21" t="inlineStr">
        <is>
          <t>match_where_return</t>
        </is>
      </c>
      <c r="I21" s="2" t="n">
        <v>1</v>
      </c>
      <c r="J21" s="2" t="n">
        <v>1</v>
      </c>
      <c r="K21" s="2" t="n">
        <v>1</v>
      </c>
    </row>
    <row r="22">
      <c r="A22" t="inlineStr">
        <is>
          <t>bloom50_data_3_5_2_6_Complex_Aggregation_56</t>
        </is>
      </c>
      <c r="B22" t="inlineStr">
        <is>
          <t>test_52</t>
        </is>
      </c>
      <c r="C22" t="inlineStr">
        <is>
          <t>MATCH (fi:FinancialInstitute {name: 'Schiller LLC'})&lt;-[:FROM]-(ba:BankAccount)-[:SEND]-&gt;(mt:MoneyTransfer) RETURN avg(mt.amount) AS AverageMoneyTransferAmount</t>
        </is>
      </c>
      <c r="D22" t="inlineStr">
        <is>
          <t>What is the average amount of money transfers sent from bank accounts associated with the financial institute named 'Schiller LLC'?</t>
        </is>
      </c>
      <c r="E22" t="inlineStr">
        <is>
          <t>What is the average amount of money transfers sent from bank accounts associated with the financial institute named 'Schiller LLC'?</t>
        </is>
      </c>
      <c r="F22" t="n">
        <v>1</v>
      </c>
      <c r="G22" t="inlineStr">
        <is>
          <t>match_return</t>
        </is>
      </c>
      <c r="H22" t="inlineStr">
        <is>
          <t>match_return</t>
        </is>
      </c>
      <c r="I22" s="2" t="n">
        <v>1</v>
      </c>
      <c r="J22" s="2" t="n">
        <v>1</v>
      </c>
      <c r="K22" s="2" t="n">
        <v>1</v>
      </c>
    </row>
    <row r="23">
      <c r="A23" t="inlineStr">
        <is>
          <t>bloom50_data_3_5_2_6_Complex_Aggregation_57</t>
        </is>
      </c>
      <c r="B23" t="inlineStr">
        <is>
          <t>test_53</t>
        </is>
      </c>
      <c r="C23" t="inlineStr">
        <is>
          <t>MATCH (p:Purchase)-[:FROM_IP]-&gt;(ip:IP)-[:LOCATED_IN]-&gt;(s:State) RETURN s.name AS State, avg(p.amount) AS AveragePurchaseAmount</t>
        </is>
      </c>
      <c r="D23" t="inlineStr">
        <is>
          <t>For each state, what is the average purchase amount made from IPs located in that state?</t>
        </is>
      </c>
      <c r="E23" t="inlineStr">
        <is>
          <t>For each state, what is the average purchase amount from purchases originating from IPs located in that state?</t>
        </is>
      </c>
      <c r="F23" t="n">
        <v>1</v>
      </c>
      <c r="G23" t="inlineStr">
        <is>
          <t>match_return</t>
        </is>
      </c>
      <c r="H23" t="inlineStr">
        <is>
          <t>match_return</t>
        </is>
      </c>
      <c r="I23" s="2" t="n">
        <v>1</v>
      </c>
      <c r="J23" s="2" t="n">
        <v>1</v>
      </c>
      <c r="K23" s="2" t="n">
        <v>1</v>
      </c>
    </row>
    <row r="24">
      <c r="A24" t="inlineStr">
        <is>
          <t>bloom50_data_3_5_2_6_Complex_Aggregation_59</t>
        </is>
      </c>
      <c r="B24" t="inlineStr">
        <is>
          <t>test_55</t>
        </is>
      </c>
      <c r="C24" t="inlineStr">
        <is>
          <t>MATCH (ah:AccountHolder {firstName: 'Sofia', lastName: 'Pelyo'})-[:HAS_UNSECUREDLOAN]-&gt;(ul:UnsecuredLoan) RETURN avg(ul.loanAmount) AS AverageLoanAmount</t>
        </is>
      </c>
      <c r="D24" t="inlineStr">
        <is>
          <t>What is the average amount of unsecured loans for account holders named 'Sofia Pelyo'?</t>
        </is>
      </c>
      <c r="E24" t="inlineStr">
        <is>
          <t>What is the average loan amount of UnsecuredLoans held by AccountHolder 'Sofia Pelyo'?</t>
        </is>
      </c>
      <c r="F24" t="n">
        <v>1</v>
      </c>
      <c r="G24" t="inlineStr">
        <is>
          <t>match_return</t>
        </is>
      </c>
      <c r="H24" t="inlineStr">
        <is>
          <t>match_return</t>
        </is>
      </c>
      <c r="I24" s="2" t="n">
        <v>1</v>
      </c>
      <c r="J24" s="2" t="n">
        <v>0</v>
      </c>
      <c r="K24" s="2" t="n">
        <v>1</v>
      </c>
    </row>
    <row r="25">
      <c r="A25" t="inlineStr">
        <is>
          <t>bloom50_data_3_5_2_6_Complex_Aggregation_65</t>
        </is>
      </c>
      <c r="B25" t="inlineStr">
        <is>
          <t>test_59</t>
        </is>
      </c>
      <c r="C25" t="inlineStr">
        <is>
          <t>MATCH (f:Flagged)-[:HAS_CREDITCARD]-&gt;(cc:CreditCard), (f)-[:HAS_ADDRESS]-&gt;(a:Address) RETURN a.state, avg(cc.balance) AS AverageCreditCardBalance</t>
        </is>
      </c>
      <c r="D25" t="inlineStr">
        <is>
          <t>What is the average balance of CreditCards linked to Flagged individuals, grouped by the state of their associated Address?</t>
        </is>
      </c>
      <c r="E25" t="inlineStr">
        <is>
          <t>What is the average balance of CreditCards held by Flagged individuals, grouped by the state of their Address?</t>
        </is>
      </c>
      <c r="F25" t="n">
        <v>1</v>
      </c>
      <c r="G25" t="inlineStr">
        <is>
          <t>match_return</t>
        </is>
      </c>
      <c r="H25" t="inlineStr">
        <is>
          <t>match_return</t>
        </is>
      </c>
      <c r="I25" s="2" t="n">
        <v>1</v>
      </c>
      <c r="J25" s="2" t="n">
        <v>1</v>
      </c>
      <c r="K25" s="2" t="n">
        <v>1</v>
      </c>
    </row>
    <row r="26">
      <c r="A26" t="inlineStr">
        <is>
          <t>bloom50_data_3_5_2_6_Complex_Aggregation_66</t>
        </is>
      </c>
      <c r="B26" t="inlineStr">
        <is>
          <t>test_60</t>
        </is>
      </c>
      <c r="C26" t="inlineStr">
        <is>
          <t>MATCH (p:Purchase)-[:WITH_CARD]-&gt;(bc:BankCard), (p)-[:DELIVERED_AT]-&gt;(da:DeliveryAddress) RETURN da.city, avg(p.amount) AS AveragePurchaseAmount</t>
        </is>
      </c>
      <c r="D26" t="inlineStr">
        <is>
          <t>Calculate the average purchase amount for purchases delivered to each city, considering only purchases made with BankCards.</t>
        </is>
      </c>
      <c r="E26" t="inlineStr">
        <is>
          <t>What is the average amount of purchases made with BankCards, grouped by the city of the DeliveryAddress?</t>
        </is>
      </c>
      <c r="F26" t="n">
        <v>1</v>
      </c>
      <c r="G26" t="inlineStr">
        <is>
          <t>match_return</t>
        </is>
      </c>
      <c r="H26" t="inlineStr">
        <is>
          <t>match_return</t>
        </is>
      </c>
      <c r="I26" s="2" t="n">
        <v>0</v>
      </c>
      <c r="J26" s="2" t="n">
        <v>1</v>
      </c>
      <c r="K26" s="2" t="n">
        <v>1</v>
      </c>
    </row>
    <row r="27">
      <c r="F27">
        <f>COUNTIF(F2:F26,1)</f>
        <v/>
      </c>
      <c r="I27" s="2">
        <f>COUNTIF(I2:I26,1)</f>
        <v/>
      </c>
      <c r="J27" s="2">
        <f>COUNTIF(J2:J26,1)</f>
        <v/>
      </c>
      <c r="K27" s="2">
        <f>COUNTIF(K2:K26,1)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2026-07-19T09:08:59Z</dcterms:created>
  <dcterms:modified xsi:type="dcterms:W3CDTF">2026-07-19T09:36:31Z</dcterms:modified>
  <cp:lastModifiedBy>Sriom Chakrabarti</cp:lastModifiedBy>
</cp:coreProperties>
</file>